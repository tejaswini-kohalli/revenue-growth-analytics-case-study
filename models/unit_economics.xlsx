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jas\OneDrive\Documents\data\"/>
    </mc:Choice>
  </mc:AlternateContent>
  <xr:revisionPtr revIDLastSave="0" documentId="8_{8ADAA39B-A13D-400C-BF7A-0F3F67458631}" xr6:coauthVersionLast="47" xr6:coauthVersionMax="47" xr10:uidLastSave="{00000000-0000-0000-0000-000000000000}"/>
  <bookViews>
    <workbookView xWindow="-108" yWindow="-108" windowWidth="23256" windowHeight="12456" xr2:uid="{33D898EE-687F-47FB-8882-A31D52086DCE}"/>
  </bookViews>
  <sheets>
    <sheet name="KPIs" sheetId="1" r:id="rId1"/>
    <sheet name="Funnel" sheetId="2" r:id="rId2"/>
    <sheet name="CAC_Model" sheetId="3" r:id="rId3"/>
    <sheet name="Insigh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3" l="1"/>
  <c r="C3" i="3"/>
  <c r="C2" i="3"/>
  <c r="C4" i="2"/>
  <c r="C3" i="2"/>
  <c r="B7" i="1"/>
</calcChain>
</file>

<file path=xl/sharedStrings.xml><?xml version="1.0" encoding="utf-8"?>
<sst xmlns="http://schemas.openxmlformats.org/spreadsheetml/2006/main" count="24" uniqueCount="23">
  <si>
    <t>Metric</t>
  </si>
  <si>
    <t>Total Revenue</t>
  </si>
  <si>
    <t>Users</t>
  </si>
  <si>
    <t>Buyers</t>
  </si>
  <si>
    <t>AOV</t>
  </si>
  <si>
    <t>Purchase Frequency</t>
  </si>
  <si>
    <t>LTV</t>
  </si>
  <si>
    <t>Value</t>
  </si>
  <si>
    <t>Customer lifetime value (LTV)</t>
  </si>
  <si>
    <t>Stage</t>
  </si>
  <si>
    <t>Conversion</t>
  </si>
  <si>
    <t>View</t>
  </si>
  <si>
    <t>Cart</t>
  </si>
  <si>
    <t>Purchase</t>
  </si>
  <si>
    <t>CAC</t>
  </si>
  <si>
    <t>LTV:CAC ratio</t>
  </si>
  <si>
    <t>Max Sustainable CAC (3:1 Ratio)=14.55</t>
  </si>
  <si>
    <t>KEY BUSINESS INSIGHTS</t>
  </si>
  <si>
    <t>View-to-purchase conversion is 4.3%</t>
  </si>
  <si>
    <t>Major drop-off occurs at checkout stage</t>
  </si>
  <si>
    <t>Average customer LTV is 43.66</t>
  </si>
  <si>
    <t>Business can spend up to 14.55 to acquire a customer sustainably</t>
  </si>
  <si>
    <t>Unit economics indicate strong profitability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</si>
</sst>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4" fontId="0" fillId="0" borderId="0" xfId="0" applyNumberFormat="1"/>
    <xf numFmtId="9" fontId="0" fillId="0" borderId="0" xfId="0" applyNumberFormat="1"/>
    <xf numFmtId="2" fontId="0" fillId="0" borderId="0" xfId="0" applyNumberFormat="1"/>
    <xf numFmtId="0" fontId="0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1"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Funnel</a:t>
            </a:r>
            <a:r>
              <a:rPr lang="en-IN" baseline="0"/>
              <a:t>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Funnel!$B$1</c:f>
              <c:strCache>
                <c:ptCount val="1"/>
                <c:pt idx="0">
                  <c:v>Users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Funnel!$A$2:$A$4</c:f>
              <c:strCache>
                <c:ptCount val="3"/>
                <c:pt idx="0">
                  <c:v>View</c:v>
                </c:pt>
                <c:pt idx="1">
                  <c:v>Cart</c:v>
                </c:pt>
                <c:pt idx="2">
                  <c:v>Purchase</c:v>
                </c:pt>
              </c:strCache>
            </c:strRef>
          </c:cat>
          <c:val>
            <c:numRef>
              <c:f>Funnel!$B$2:$B$4</c:f>
              <c:numCache>
                <c:formatCode>General</c:formatCode>
                <c:ptCount val="3"/>
                <c:pt idx="0">
                  <c:v>28774</c:v>
                </c:pt>
                <c:pt idx="1">
                  <c:v>15791</c:v>
                </c:pt>
                <c:pt idx="2">
                  <c:v>1237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3B-41B3-8727-964F202DD68D}"/>
            </c:ext>
          </c:extLst>
        </c:ser>
        <c:ser>
          <c:idx val="1"/>
          <c:order val="1"/>
          <c:tx>
            <c:strRef>
              <c:f>Funnel!$C$1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Funnel!$A$2:$A$4</c:f>
              <c:strCache>
                <c:ptCount val="3"/>
                <c:pt idx="0">
                  <c:v>View</c:v>
                </c:pt>
                <c:pt idx="1">
                  <c:v>Cart</c:v>
                </c:pt>
                <c:pt idx="2">
                  <c:v>Purchase</c:v>
                </c:pt>
              </c:strCache>
            </c:strRef>
          </c:cat>
          <c:val>
            <c:numRef>
              <c:f>Funnel!$C$2:$C$4</c:f>
              <c:numCache>
                <c:formatCode>0%</c:formatCode>
                <c:ptCount val="3"/>
                <c:pt idx="0">
                  <c:v>1</c:v>
                </c:pt>
                <c:pt idx="1">
                  <c:v>0.54879405018419403</c:v>
                </c:pt>
                <c:pt idx="2">
                  <c:v>4.2990199485646766E-2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3B-41B3-8727-964F202DD68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403510960"/>
        <c:axId val="1403513840"/>
        <c:axId val="0"/>
      </c:bar3DChart>
      <c:catAx>
        <c:axId val="140351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513840"/>
        <c:crosses val="autoZero"/>
        <c:auto val="1"/>
        <c:lblAlgn val="ctr"/>
        <c:lblOffset val="100"/>
        <c:noMultiLvlLbl val="0"/>
      </c:catAx>
      <c:valAx>
        <c:axId val="140351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510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</xdr:row>
      <xdr:rowOff>168964</xdr:rowOff>
    </xdr:from>
    <xdr:to>
      <xdr:col>6</xdr:col>
      <xdr:colOff>53008</xdr:colOff>
      <xdr:row>19</xdr:row>
      <xdr:rowOff>59635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49FE09-17FA-F931-999E-28A0F23ED1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96695E-E918-4E02-99A3-F49795C4D89F}" name="Table1" displayName="Table1" ref="A1:B7" totalsRowShown="0">
  <autoFilter ref="A1:B7" xr:uid="{1396695E-E918-4E02-99A3-F49795C4D89F}"/>
  <tableColumns count="2">
    <tableColumn id="1" xr3:uid="{685579A5-B22E-4955-8259-2C3FA64EF613}" name="Metric"/>
    <tableColumn id="2" xr3:uid="{FDB41CC7-159A-423E-89CF-45CC3581A6CF}" name="Value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1B7C8B-BCA2-4122-BA2E-0E026A6D5489}" name="Table2" displayName="Table2" ref="A1:C4" totalsRowShown="0">
  <autoFilter ref="A1:C4" xr:uid="{1D1B7C8B-BCA2-4122-BA2E-0E026A6D5489}"/>
  <tableColumns count="3">
    <tableColumn id="1" xr3:uid="{E7E16316-AC03-40A3-9E1F-14C77FF3B203}" name="Stage"/>
    <tableColumn id="2" xr3:uid="{B60F0788-F6E9-4DB0-9C60-FE34307575DE}" name="Users"/>
    <tableColumn id="3" xr3:uid="{0B3C26BB-5FB6-4A17-956F-ADAC7B347932}" name="Conversion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83424-7916-4700-84DC-D91A35C67E63}">
  <dimension ref="A1:B7"/>
  <sheetViews>
    <sheetView tabSelected="1" zoomScale="175" zoomScaleNormal="175" workbookViewId="0">
      <selection activeCell="E5" sqref="E5:F9"/>
    </sheetView>
  </sheetViews>
  <sheetFormatPr defaultRowHeight="14.4" x14ac:dyDescent="0.3"/>
  <cols>
    <col min="1" max="1" width="26.77734375" customWidth="1"/>
  </cols>
  <sheetData>
    <row r="1" spans="1:2" x14ac:dyDescent="0.3">
      <c r="A1" t="s">
        <v>0</v>
      </c>
      <c r="B1" t="s">
        <v>7</v>
      </c>
    </row>
    <row r="2" spans="1:2" x14ac:dyDescent="0.3">
      <c r="A2" t="s">
        <v>1</v>
      </c>
      <c r="B2" s="2">
        <v>54003.360000000001</v>
      </c>
    </row>
    <row r="3" spans="1:2" x14ac:dyDescent="0.3">
      <c r="A3" t="s">
        <v>2</v>
      </c>
      <c r="B3" s="1">
        <v>28774</v>
      </c>
    </row>
    <row r="4" spans="1:2" x14ac:dyDescent="0.3">
      <c r="A4" t="s">
        <v>3</v>
      </c>
      <c r="B4" s="1">
        <v>1237</v>
      </c>
    </row>
    <row r="5" spans="1:2" x14ac:dyDescent="0.3">
      <c r="A5" t="s">
        <v>4</v>
      </c>
      <c r="B5">
        <v>5.0999999999999996</v>
      </c>
    </row>
    <row r="6" spans="1:2" x14ac:dyDescent="0.3">
      <c r="A6" t="s">
        <v>5</v>
      </c>
      <c r="B6">
        <v>8.56</v>
      </c>
    </row>
    <row r="7" spans="1:2" x14ac:dyDescent="0.3">
      <c r="A7" t="s">
        <v>8</v>
      </c>
      <c r="B7" s="4">
        <f>B5*B6</f>
        <v>43.655999999999999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15527-9A56-4AD0-B9AF-D07549C9ED1B}">
  <dimension ref="A1:C4"/>
  <sheetViews>
    <sheetView zoomScale="115" zoomScaleNormal="115" workbookViewId="0">
      <selection activeCell="H10" sqref="H10"/>
    </sheetView>
  </sheetViews>
  <sheetFormatPr defaultRowHeight="14.4" x14ac:dyDescent="0.3"/>
  <cols>
    <col min="3" max="3" width="11.77734375" customWidth="1"/>
  </cols>
  <sheetData>
    <row r="1" spans="1:3" x14ac:dyDescent="0.3">
      <c r="A1" t="s">
        <v>9</v>
      </c>
      <c r="B1" t="s">
        <v>2</v>
      </c>
      <c r="C1" s="3" t="s">
        <v>10</v>
      </c>
    </row>
    <row r="2" spans="1:3" x14ac:dyDescent="0.3">
      <c r="A2" t="s">
        <v>11</v>
      </c>
      <c r="B2">
        <v>28774</v>
      </c>
      <c r="C2" s="3">
        <v>1</v>
      </c>
    </row>
    <row r="3" spans="1:3" x14ac:dyDescent="0.3">
      <c r="A3" t="s">
        <v>12</v>
      </c>
      <c r="B3">
        <v>15791</v>
      </c>
      <c r="C3" s="3">
        <f>B3/B2</f>
        <v>0.54879405018419403</v>
      </c>
    </row>
    <row r="4" spans="1:3" x14ac:dyDescent="0.3">
      <c r="A4" t="s">
        <v>13</v>
      </c>
      <c r="B4">
        <v>1237</v>
      </c>
      <c r="C4" s="3">
        <f>B4/B2</f>
        <v>4.2990199485646766E-2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4A081-F7A9-407A-813D-33D58E6791C9}">
  <dimension ref="A1:D6"/>
  <sheetViews>
    <sheetView zoomScale="205" zoomScaleNormal="205" workbookViewId="0">
      <selection activeCell="D10" sqref="D10"/>
    </sheetView>
  </sheetViews>
  <sheetFormatPr defaultRowHeight="14.4" x14ac:dyDescent="0.3"/>
  <cols>
    <col min="2" max="2" width="8.88671875" customWidth="1"/>
    <col min="3" max="3" width="12.5546875" customWidth="1"/>
  </cols>
  <sheetData>
    <row r="1" spans="1:4" x14ac:dyDescent="0.3">
      <c r="A1" t="s">
        <v>14</v>
      </c>
      <c r="B1" t="s">
        <v>6</v>
      </c>
      <c r="C1" t="s">
        <v>15</v>
      </c>
    </row>
    <row r="2" spans="1:4" x14ac:dyDescent="0.3">
      <c r="A2">
        <v>3</v>
      </c>
      <c r="B2">
        <v>43.66</v>
      </c>
      <c r="C2" s="4">
        <f>B2/A2</f>
        <v>14.553333333333333</v>
      </c>
    </row>
    <row r="3" spans="1:4" x14ac:dyDescent="0.3">
      <c r="A3">
        <v>5</v>
      </c>
      <c r="B3">
        <v>43.66</v>
      </c>
      <c r="C3" s="4">
        <f>B3/A3</f>
        <v>8.7319999999999993</v>
      </c>
    </row>
    <row r="4" spans="1:4" x14ac:dyDescent="0.3">
      <c r="A4">
        <v>10</v>
      </c>
      <c r="B4">
        <v>43.66</v>
      </c>
      <c r="C4" s="4">
        <f>B4/A4</f>
        <v>4.3659999999999997</v>
      </c>
    </row>
    <row r="6" spans="1:4" x14ac:dyDescent="0.3">
      <c r="A6" s="5" t="s">
        <v>16</v>
      </c>
      <c r="B6" s="5"/>
      <c r="C6" s="5"/>
      <c r="D6" s="5"/>
    </row>
  </sheetData>
  <mergeCells count="1">
    <mergeCell ref="A6:D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4947A-39C9-4EEF-9411-B44BE3C7C136}">
  <dimension ref="A1:C6"/>
  <sheetViews>
    <sheetView zoomScale="220" zoomScaleNormal="220" workbookViewId="0">
      <selection activeCell="F3" sqref="F3"/>
    </sheetView>
  </sheetViews>
  <sheetFormatPr defaultRowHeight="14.4" x14ac:dyDescent="0.3"/>
  <sheetData>
    <row r="1" spans="1:3" x14ac:dyDescent="0.3">
      <c r="A1" s="6" t="s">
        <v>17</v>
      </c>
      <c r="B1" s="6"/>
      <c r="C1" s="6"/>
    </row>
    <row r="2" spans="1:3" x14ac:dyDescent="0.3">
      <c r="A2" t="s">
        <v>18</v>
      </c>
    </row>
    <row r="3" spans="1:3" x14ac:dyDescent="0.3">
      <c r="A3" t="s">
        <v>19</v>
      </c>
    </row>
    <row r="4" spans="1:3" x14ac:dyDescent="0.3">
      <c r="A4" t="s">
        <v>20</v>
      </c>
    </row>
    <row r="5" spans="1:3" x14ac:dyDescent="0.3">
      <c r="A5" t="s">
        <v>21</v>
      </c>
    </row>
    <row r="6" spans="1:3" x14ac:dyDescent="0.3">
      <c r="A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Funnel</vt:lpstr>
      <vt:lpstr>CAC_Model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tejaswini kohalli</dc:creator>
  <cp:lastModifiedBy>tejaswini kohalli</cp:lastModifiedBy>
  <dcterms:created xsi:type="dcterms:W3CDTF">2026-04-20T15:05:29Z</dcterms:created>
  <dcterms:modified xsi:type="dcterms:W3CDTF">2026-04-28T11:29:54Z</dcterms:modified>
</cp:coreProperties>
</file>